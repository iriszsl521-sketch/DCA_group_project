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kellylang/Desktop/"/>
    </mc:Choice>
  </mc:AlternateContent>
  <xr:revisionPtr revIDLastSave="0" documentId="8_{488B2034-2868-8449-BE32-512A8BAE54AF}" xr6:coauthVersionLast="47" xr6:coauthVersionMax="47" xr10:uidLastSave="{00000000-0000-0000-0000-000000000000}"/>
  <bookViews>
    <workbookView xWindow="0" yWindow="660" windowWidth="26960" windowHeight="13420" xr2:uid="{00000000-000D-0000-FFFF-FFFF00000000}"/>
  </bookViews>
  <sheets>
    <sheet name="A Survey on Problematic Social " sheetId="1" r:id="rId1"/>
  </sheets>
  <definedNames>
    <definedName name="_xlnm._FilterDatabase" localSheetId="0" hidden="1">'A Survey on Problematic Social '!$A$1:$Y$35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5" i="1" l="1"/>
  <c r="AA35" i="1"/>
  <c r="AD35" i="1" s="1"/>
  <c r="AC34" i="1"/>
  <c r="AA34" i="1"/>
  <c r="AD34" i="1" s="1"/>
  <c r="AC33" i="1"/>
  <c r="AA33" i="1"/>
  <c r="AD33" i="1" s="1"/>
  <c r="AC32" i="1"/>
  <c r="AA32" i="1"/>
  <c r="AD32" i="1" s="1"/>
  <c r="AC31" i="1"/>
  <c r="AA31" i="1"/>
  <c r="AD31" i="1" s="1"/>
  <c r="AC30" i="1"/>
  <c r="AA30" i="1"/>
  <c r="AD30" i="1" s="1"/>
  <c r="AC29" i="1"/>
  <c r="AA29" i="1"/>
  <c r="AD29" i="1" s="1"/>
  <c r="AC28" i="1"/>
  <c r="AA28" i="1"/>
  <c r="AD28" i="1" s="1"/>
  <c r="AC27" i="1"/>
  <c r="AA27" i="1"/>
  <c r="AD27" i="1" s="1"/>
  <c r="AD26" i="1"/>
  <c r="AC26" i="1"/>
  <c r="AA26" i="1"/>
  <c r="AC25" i="1"/>
  <c r="AA25" i="1"/>
  <c r="AD25" i="1" s="1"/>
  <c r="AC24" i="1"/>
  <c r="AA24" i="1"/>
  <c r="AD24" i="1" s="1"/>
  <c r="AC23" i="1"/>
  <c r="AA23" i="1"/>
  <c r="AD23" i="1" s="1"/>
  <c r="AC22" i="1"/>
  <c r="AA22" i="1"/>
  <c r="AD22" i="1" s="1"/>
  <c r="AC21" i="1"/>
  <c r="AA21" i="1"/>
  <c r="AD21" i="1" s="1"/>
  <c r="AC20" i="1"/>
  <c r="AA20" i="1"/>
  <c r="AD20" i="1" s="1"/>
  <c r="AC19" i="1"/>
  <c r="AA19" i="1"/>
  <c r="AD19" i="1" s="1"/>
  <c r="AC18" i="1"/>
  <c r="AA18" i="1"/>
  <c r="AD18" i="1" s="1"/>
  <c r="AC17" i="1"/>
  <c r="AA17" i="1"/>
  <c r="AD17" i="1" s="1"/>
  <c r="AC16" i="1"/>
  <c r="AA16" i="1"/>
  <c r="AD16" i="1" s="1"/>
  <c r="AC15" i="1"/>
  <c r="AA15" i="1"/>
  <c r="AD15" i="1" s="1"/>
  <c r="AC14" i="1"/>
  <c r="AA14" i="1"/>
  <c r="AD14" i="1" s="1"/>
  <c r="AC13" i="1"/>
  <c r="AA13" i="1"/>
  <c r="AD13" i="1" s="1"/>
  <c r="AC12" i="1"/>
  <c r="AA12" i="1"/>
  <c r="AD12" i="1" s="1"/>
  <c r="AC11" i="1"/>
  <c r="AA11" i="1"/>
  <c r="AD11" i="1" s="1"/>
  <c r="AC10" i="1"/>
  <c r="AA10" i="1"/>
  <c r="AD10" i="1" s="1"/>
  <c r="AC9" i="1"/>
  <c r="AA9" i="1"/>
  <c r="AD9" i="1" s="1"/>
  <c r="AC8" i="1"/>
  <c r="AA8" i="1"/>
  <c r="AD8" i="1" s="1"/>
  <c r="AC7" i="1"/>
  <c r="AA7" i="1"/>
  <c r="AD7" i="1" s="1"/>
  <c r="AC6" i="1"/>
  <c r="AA6" i="1"/>
  <c r="AD6" i="1" s="1"/>
  <c r="AC5" i="1"/>
  <c r="AA5" i="1"/>
  <c r="AD5" i="1" s="1"/>
  <c r="AC4" i="1"/>
  <c r="AA4" i="1"/>
  <c r="AD4" i="1" s="1"/>
  <c r="AC3" i="1"/>
  <c r="AA3" i="1"/>
  <c r="AD3" i="1" s="1"/>
  <c r="AC2" i="1"/>
  <c r="AA2" i="1"/>
  <c r="AD2" i="1" s="1"/>
</calcChain>
</file>

<file path=xl/sharedStrings.xml><?xml version="1.0" encoding="utf-8"?>
<sst xmlns="http://schemas.openxmlformats.org/spreadsheetml/2006/main" count="368" uniqueCount="80">
  <si>
    <t>时间戳记</t>
  </si>
  <si>
    <t xml:space="preserve">
1.     I confirm that I have read and understood the information sheet dated 20/04/2026, Version 1 for the above project and that I meet the eligibility criteria. I confirm I have had the opportunity to consider the information provided and to ask questions which have been answered to my satisfaction.
我确认我已阅读并理解本项目的信息说明书（日期：20/04/2026，版本号：1.0），并且我符合参与资格要求。我确认我已有机会认真考虑所提供的信息，并对此提出问题，而且这些问题已经得到了令我满意的答复。
2.     I consent voluntarily to be a participant in this project and understand that I can refuse to take part and can withdraw from the project at any time before submitting my responses, without having to give a reason. Because the survey is anonymous, once my responses have been submitted it may not be possible to withdraw them.
我自愿同意参与本项目，并理解我可以拒绝参加，也可以在提交问卷答案之前随时退出本项目，且无需说明理由。由于本问卷为匿名形式，一旦我的答案提交后，研究团队可能无法再识别并删除我的答卷。
3.     I understand my information will be processed for the purposes explained to me in the Information Sheet. I understand that such information will be handled under the terms of UK data protection law, including the UK GDPR and the Data Protection Act 2018.
我理解，我所提供的信息将仅用于信息说明书中所说明的研究目的。我也理解，这些信息将依据英国数据保护法律进行处理，包括《英国通用数据保护条例》（UK GDPR）和《2018年数据保护法》。
4.     I understand that my information may be subject to review by responsible individuals from the College for monitoring and audit purposes.
我理解，为了监测和审计目的，我所提供的信息可能会由学院中负责相关事务的人员进行查阅。</t>
  </si>
  <si>
    <t>1. What is your age? /您的年龄是？</t>
  </si>
  <si>
    <t>2. Which of the following best describes your gender? /以下哪项最符合您的性别？</t>
  </si>
  <si>
    <t>3. What is your current level of study? /您目前的学习阶段是？</t>
  </si>
  <si>
    <t>4. On average, how many hours per day do you spend on social media? /您平均每天花多少小时使用社交媒体？</t>
  </si>
  <si>
    <t>5. How often do you shop online? /您多久进行一次线上购物？</t>
  </si>
  <si>
    <t>6.Are you currently enrolled as a university student? /您目前是否是在读大学生？</t>
  </si>
  <si>
    <t>7.Are you aged 16 or above? /您的年龄是否已满16岁？</t>
  </si>
  <si>
    <t>8. Do you currently use at least one social media platform? /您目前是否使用至少一种社交媒体平台？</t>
  </si>
  <si>
    <t>Social Media Use Scale /社交媒体使用量表 [You spend a lot of time thinking about social media or planning how to use it. /我花很多时间思考社交媒体或计划如何使用它。]</t>
  </si>
  <si>
    <t>Social Media Use Scale /社交媒体使用量表 [You feel an urge to use social media more and more. /我想要使用社交媒体的欲望越来越强烈。]</t>
  </si>
  <si>
    <t>Social Media Use Scale /社交媒体使用量表 [You use social media in order to forget about personal problems. /我使用社交媒体来忘记个人的问题。]</t>
  </si>
  <si>
    <t>Social Media Use Scale /社交媒体使用量表 [You have tried to cut down on the use of social media without success. /我曾经试图减少社交媒体的使用，但没有成功。]</t>
  </si>
  <si>
    <t>Social Media Use Scale /社交媒体使用量表 [You become restless or troubled if you are prohibited from using social media. /如果被禁止使用社交媒体，我会变的不安。]</t>
  </si>
  <si>
    <t>Social Media Use Scale /社交媒体使用量表 [You use social media so much that it has had a negative impact on your job/studies. /我使用社交媒体太多了，以至于对我的学习或工作产生了负面的影响。]</t>
  </si>
  <si>
    <t>Online Buying Impulsiveness Scale /线上购买冲动量表 [I often buy things online spontaneously./我经常会冲动地购买东西。]</t>
  </si>
  <si>
    <t>Online Buying Impulsiveness Scale /线上购买冲动量表 [“Just do it” describes the way I buy things. /“想到就买”很符合我的购物方式。]</t>
  </si>
  <si>
    <t>Online Buying Impulsiveness Scale /线上购买冲动量表 [I often buy things without thinking. /我经常不假思索地买东西。]</t>
  </si>
  <si>
    <t>Online Buying Impulsiveness Scale /线上购买冲动量表 [“I see it, I buy it” describes me. “看到就买”很符合我。]</t>
  </si>
  <si>
    <t>Online Buying Impulsiveness Scale /线上购买冲动量表 [“Buy now, think about it later” describes me. /“先买再说，之后再想”很符合我。]</t>
  </si>
  <si>
    <t>Online Buying Impulsiveness Scale /线上购买冲动量表 [Sometimes I feel like buying things on the spur of the moment. /有时我会突然想买东西。]</t>
  </si>
  <si>
    <t>Online Buying Impulsiveness Scale /线上购买冲动量表 [I buy things according to how I feel at the moment. /我会根据自己当下的感觉来买东西。]</t>
  </si>
  <si>
    <t>Online Buying Impulsiveness Scale /线上购买冲动量表 [I carefully plan most of my purchases. /我会认真规划自己大多数的购买。]</t>
  </si>
  <si>
    <t>Online Buying Impulsiveness Scale /线上购买冲动量表 [Sometimes I am a bit reckless about what I buy. /有时我买东西时会有点鲁莽。]</t>
  </si>
  <si>
    <t>obi8_reversecoded</t>
  </si>
  <si>
    <t>smu_total</t>
  </si>
  <si>
    <t>obi_total</t>
  </si>
  <si>
    <t>2026/04/25 3:29:11 下午 GMT+1</t>
  </si>
  <si>
    <t>I Agree. 我同意。</t>
  </si>
  <si>
    <t>18–24 years /18-24岁</t>
  </si>
  <si>
    <t>Female /女</t>
  </si>
  <si>
    <t>Postgraduate (Master’s) /硕士研究生</t>
  </si>
  <si>
    <t>More than 6 hours /多于6小时</t>
  </si>
  <si>
    <t>Often /经常</t>
  </si>
  <si>
    <t>Yes /是</t>
  </si>
  <si>
    <t>2026/04/25 3:29:20 下午 GMT+1</t>
  </si>
  <si>
    <t>2026/04/25 3:36:23 下午 GMT+1</t>
  </si>
  <si>
    <t>Undergraduate /本科</t>
  </si>
  <si>
    <t>4–6 hours /4–6 小时</t>
  </si>
  <si>
    <t>2026/04/25 3:52:24 下午 GMT+1</t>
  </si>
  <si>
    <t>2–4 hours /2–4小时</t>
  </si>
  <si>
    <t>2026/04/25 3:53:39 下午 GMT+1</t>
  </si>
  <si>
    <t>Male /男</t>
  </si>
  <si>
    <t>Sometimes /有时</t>
  </si>
  <si>
    <t>Other /其他</t>
  </si>
  <si>
    <t>2026/04/25 3:55:07 下午 GMT+1</t>
  </si>
  <si>
    <t>2026/04/25 4:09:58 下午 GMT+1</t>
  </si>
  <si>
    <t>2026/04/25 4:21:06 下午 GMT+1</t>
  </si>
  <si>
    <t>Rarely /很少</t>
  </si>
  <si>
    <t>2026/04/25 4:32:32 下午 GMT+1</t>
  </si>
  <si>
    <t>2026/04/25 5:19:50 下午 GMT+1</t>
  </si>
  <si>
    <t>2026/04/25 5:23:23 下午 GMT+1</t>
  </si>
  <si>
    <t>2026/04/25 5:36:29 下午 GMT+1</t>
  </si>
  <si>
    <t>2026/04/25 5:43:33 下午 GMT+1</t>
  </si>
  <si>
    <t>25–29 years /25-29岁</t>
  </si>
  <si>
    <t>2026/04/25 5:51:50 下午 GMT+1</t>
  </si>
  <si>
    <t>2026/04/25 5:59:38 下午 GMT+1</t>
  </si>
  <si>
    <t>2026/04/25 5:59:56 下午 GMT+1</t>
  </si>
  <si>
    <t>Doctoral (PhD) /博士研究生</t>
  </si>
  <si>
    <t>Less than 2 hours /少于两小时</t>
  </si>
  <si>
    <t>Very often /极频繁</t>
  </si>
  <si>
    <t>2026/04/25 6:21:25 下午 GMT+1</t>
  </si>
  <si>
    <t>2026/04/25 6:25:40 下午 GMT+1</t>
  </si>
  <si>
    <t>2026/04/25 6:40:21 下午 GMT+1</t>
  </si>
  <si>
    <t>2026/04/25 6:47:22 下午 GMT+1</t>
  </si>
  <si>
    <t>2026/04/25 6:51:04 下午 GMT+1</t>
  </si>
  <si>
    <t>2026/04/25 7:07:24 下午 GMT+1</t>
  </si>
  <si>
    <t>2026/04/25 7:30:24 下午 GMT+1</t>
  </si>
  <si>
    <t>2026/04/25 7:35:02 下午 GMT+1</t>
  </si>
  <si>
    <t>2026/04/25 10:51:35 下午 GMT+1</t>
  </si>
  <si>
    <t>2026/04/25 11:12:53 下午 GMT+1</t>
  </si>
  <si>
    <t>2026/04/26 12:03:32 上午 GMT+1</t>
  </si>
  <si>
    <t>2026/04/26 12:05:32 上午 GMT+1</t>
  </si>
  <si>
    <t>2026/04/26 1:49:15 上午 GMT+1</t>
  </si>
  <si>
    <t>2026/04/26 5:07:14 下午 GMT+1</t>
  </si>
  <si>
    <t>2026/04/26 7:20:46 下午 GMT+1</t>
  </si>
  <si>
    <t>2026/04/28 12:46:33 下午 GMT+1</t>
  </si>
  <si>
    <t>2026/04/28 2:04:11 下午 GMT+1</t>
  </si>
  <si>
    <t>2026/04/28 2:59:41 下午 GMT+1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</si>
</sst>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7030A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"/>
  <sheetViews>
    <sheetView tabSelected="1" topLeftCell="J1" workbookViewId="0">
      <selection activeCell="J19" sqref="J19"/>
    </sheetView>
  </sheetViews>
  <sheetFormatPr baseColWidth="10" defaultColWidth="10.33203125" defaultRowHeight="14"/>
  <sheetData>
    <row r="1" spans="1:30" ht="20" customHeight="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AA1" s="5" t="s">
        <v>25</v>
      </c>
      <c r="AC1" s="6" t="s">
        <v>26</v>
      </c>
      <c r="AD1" s="7" t="s">
        <v>27</v>
      </c>
    </row>
    <row r="2" spans="1:30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35</v>
      </c>
      <c r="J2" t="s">
        <v>35</v>
      </c>
      <c r="K2">
        <v>4</v>
      </c>
      <c r="L2">
        <v>5</v>
      </c>
      <c r="M2">
        <v>5</v>
      </c>
      <c r="N2">
        <v>5</v>
      </c>
      <c r="O2">
        <v>3</v>
      </c>
      <c r="P2">
        <v>5</v>
      </c>
      <c r="Q2">
        <v>4</v>
      </c>
      <c r="R2">
        <v>5</v>
      </c>
      <c r="S2">
        <v>2</v>
      </c>
      <c r="T2">
        <v>3</v>
      </c>
      <c r="U2">
        <v>4</v>
      </c>
      <c r="V2">
        <v>5</v>
      </c>
      <c r="W2">
        <v>5</v>
      </c>
      <c r="X2">
        <v>3</v>
      </c>
      <c r="Y2">
        <v>4</v>
      </c>
      <c r="AA2">
        <f>6-$X2</f>
        <v>3</v>
      </c>
      <c r="AC2">
        <f>K2+L2+M2+N2+O2+P2</f>
        <v>27</v>
      </c>
      <c r="AD2">
        <f>Q2+R2+S2+T2+U2+V2+W2+AA2+Y2</f>
        <v>35</v>
      </c>
    </row>
    <row r="3" spans="1:30">
      <c r="A3" t="s">
        <v>36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35</v>
      </c>
      <c r="J3" t="s">
        <v>35</v>
      </c>
      <c r="K3">
        <v>3</v>
      </c>
      <c r="L3">
        <v>2</v>
      </c>
      <c r="M3">
        <v>2</v>
      </c>
      <c r="N3">
        <v>3</v>
      </c>
      <c r="O3">
        <v>3</v>
      </c>
      <c r="P3">
        <v>3</v>
      </c>
      <c r="Q3">
        <v>3</v>
      </c>
      <c r="R3">
        <v>2</v>
      </c>
      <c r="S3">
        <v>2</v>
      </c>
      <c r="T3">
        <v>2</v>
      </c>
      <c r="U3">
        <v>2</v>
      </c>
      <c r="V3">
        <v>3</v>
      </c>
      <c r="W3">
        <v>4</v>
      </c>
      <c r="X3">
        <v>4</v>
      </c>
      <c r="Y3">
        <v>4</v>
      </c>
      <c r="AA3">
        <f>6-$X3</f>
        <v>2</v>
      </c>
      <c r="AC3">
        <f>K3+L3+M3+N3+O3+P3</f>
        <v>16</v>
      </c>
      <c r="AD3">
        <f>Q3+R3+S3+T3+U3+V3+W3+AA3+Y3</f>
        <v>24</v>
      </c>
    </row>
    <row r="4" spans="1:30">
      <c r="A4" t="s">
        <v>37</v>
      </c>
      <c r="B4" t="s">
        <v>29</v>
      </c>
      <c r="C4" t="s">
        <v>30</v>
      </c>
      <c r="D4" t="s">
        <v>31</v>
      </c>
      <c r="E4" t="s">
        <v>38</v>
      </c>
      <c r="F4" t="s">
        <v>39</v>
      </c>
      <c r="G4" t="s">
        <v>34</v>
      </c>
      <c r="H4" t="s">
        <v>35</v>
      </c>
      <c r="I4" t="s">
        <v>35</v>
      </c>
      <c r="J4" t="s">
        <v>35</v>
      </c>
      <c r="K4">
        <v>3</v>
      </c>
      <c r="L4">
        <v>4</v>
      </c>
      <c r="M4">
        <v>4</v>
      </c>
      <c r="N4">
        <v>3</v>
      </c>
      <c r="O4">
        <v>3</v>
      </c>
      <c r="P4">
        <v>3</v>
      </c>
      <c r="Q4">
        <v>2</v>
      </c>
      <c r="R4">
        <v>2</v>
      </c>
      <c r="S4">
        <v>2</v>
      </c>
      <c r="T4">
        <v>2</v>
      </c>
      <c r="U4">
        <v>2</v>
      </c>
      <c r="V4">
        <v>3</v>
      </c>
      <c r="W4">
        <v>3</v>
      </c>
      <c r="X4">
        <v>4</v>
      </c>
      <c r="Y4">
        <v>3</v>
      </c>
      <c r="AA4">
        <f>6-$X4</f>
        <v>2</v>
      </c>
      <c r="AC4">
        <f>K4+L4+M4+N4+O4+P4</f>
        <v>20</v>
      </c>
      <c r="AD4">
        <f>Q4+R4+S4+T4+U4+V4+W4+AA4+Y4</f>
        <v>21</v>
      </c>
    </row>
    <row r="5" spans="1:30">
      <c r="A5" t="s">
        <v>40</v>
      </c>
      <c r="B5" t="s">
        <v>29</v>
      </c>
      <c r="C5" t="s">
        <v>30</v>
      </c>
      <c r="D5" t="s">
        <v>31</v>
      </c>
      <c r="E5" t="s">
        <v>38</v>
      </c>
      <c r="F5" t="s">
        <v>41</v>
      </c>
      <c r="G5" t="s">
        <v>34</v>
      </c>
      <c r="H5" t="s">
        <v>35</v>
      </c>
      <c r="I5" t="s">
        <v>35</v>
      </c>
      <c r="J5" t="s">
        <v>35</v>
      </c>
      <c r="K5">
        <v>4</v>
      </c>
      <c r="L5">
        <v>3</v>
      </c>
      <c r="M5">
        <v>2</v>
      </c>
      <c r="N5">
        <v>3</v>
      </c>
      <c r="O5">
        <v>2</v>
      </c>
      <c r="P5">
        <v>2</v>
      </c>
      <c r="Q5">
        <v>3</v>
      </c>
      <c r="R5">
        <v>4</v>
      </c>
      <c r="S5">
        <v>3</v>
      </c>
      <c r="T5">
        <v>3</v>
      </c>
      <c r="U5">
        <v>2</v>
      </c>
      <c r="V5">
        <v>4</v>
      </c>
      <c r="W5">
        <v>5</v>
      </c>
      <c r="X5">
        <v>4</v>
      </c>
      <c r="Y5">
        <v>5</v>
      </c>
      <c r="AA5">
        <f>6-$X5</f>
        <v>2</v>
      </c>
      <c r="AC5">
        <f>K5+L5+M5+N5+O5+P5</f>
        <v>16</v>
      </c>
      <c r="AD5">
        <f>Q5+R5+S5+T5+U5+V5+W5+AA5+Y5</f>
        <v>31</v>
      </c>
    </row>
    <row r="6" spans="1:30">
      <c r="A6" t="s">
        <v>42</v>
      </c>
      <c r="B6" t="s">
        <v>29</v>
      </c>
      <c r="C6" t="s">
        <v>30</v>
      </c>
      <c r="D6" t="s">
        <v>43</v>
      </c>
      <c r="E6" t="s">
        <v>32</v>
      </c>
      <c r="F6" t="s">
        <v>33</v>
      </c>
      <c r="G6" t="s">
        <v>44</v>
      </c>
      <c r="H6" t="s">
        <v>35</v>
      </c>
      <c r="I6" t="s">
        <v>35</v>
      </c>
      <c r="J6" t="s">
        <v>35</v>
      </c>
      <c r="K6">
        <v>3</v>
      </c>
      <c r="L6">
        <v>3</v>
      </c>
      <c r="M6">
        <v>2</v>
      </c>
      <c r="N6">
        <v>2</v>
      </c>
      <c r="O6">
        <v>4</v>
      </c>
      <c r="P6">
        <v>2</v>
      </c>
      <c r="Q6">
        <v>2</v>
      </c>
      <c r="R6">
        <v>1</v>
      </c>
      <c r="S6">
        <v>1</v>
      </c>
      <c r="T6">
        <v>2</v>
      </c>
      <c r="U6">
        <v>1</v>
      </c>
      <c r="V6">
        <v>1</v>
      </c>
      <c r="W6">
        <v>2</v>
      </c>
      <c r="X6">
        <v>4</v>
      </c>
      <c r="Y6">
        <v>2</v>
      </c>
      <c r="AA6">
        <f>6-$X6</f>
        <v>2</v>
      </c>
      <c r="AC6">
        <f>K6+L6+M6+N6+O6+P6</f>
        <v>16</v>
      </c>
      <c r="AD6">
        <f>Q6+R6+S6+T6+U6+V6+W6+AA6+Y6</f>
        <v>14</v>
      </c>
    </row>
    <row r="7" spans="1:30">
      <c r="A7" t="s">
        <v>46</v>
      </c>
      <c r="B7" t="s">
        <v>29</v>
      </c>
      <c r="C7" t="s">
        <v>30</v>
      </c>
      <c r="D7" t="s">
        <v>31</v>
      </c>
      <c r="E7" t="s">
        <v>32</v>
      </c>
      <c r="F7" t="s">
        <v>39</v>
      </c>
      <c r="G7" t="s">
        <v>44</v>
      </c>
      <c r="H7" t="s">
        <v>35</v>
      </c>
      <c r="I7" t="s">
        <v>35</v>
      </c>
      <c r="J7" t="s">
        <v>35</v>
      </c>
      <c r="K7">
        <v>2</v>
      </c>
      <c r="L7">
        <v>3</v>
      </c>
      <c r="M7">
        <v>3</v>
      </c>
      <c r="N7">
        <v>4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4</v>
      </c>
      <c r="V7">
        <v>4</v>
      </c>
      <c r="W7">
        <v>4</v>
      </c>
      <c r="X7">
        <v>4</v>
      </c>
      <c r="Y7">
        <v>4</v>
      </c>
      <c r="AA7">
        <f>6-$X7</f>
        <v>2</v>
      </c>
      <c r="AC7">
        <f>K7+L7+M7+N7+O7+P7</f>
        <v>18</v>
      </c>
      <c r="AD7">
        <f>Q7+R7+S7+T7+U7+V7+W7+AA7+Y7</f>
        <v>30</v>
      </c>
    </row>
    <row r="8" spans="1:30">
      <c r="A8" t="s">
        <v>47</v>
      </c>
      <c r="B8" t="s">
        <v>29</v>
      </c>
      <c r="C8" t="s">
        <v>30</v>
      </c>
      <c r="D8" t="s">
        <v>31</v>
      </c>
      <c r="E8" t="s">
        <v>38</v>
      </c>
      <c r="F8" t="s">
        <v>41</v>
      </c>
      <c r="G8" t="s">
        <v>44</v>
      </c>
      <c r="H8" t="s">
        <v>35</v>
      </c>
      <c r="I8" t="s">
        <v>35</v>
      </c>
      <c r="J8" t="s">
        <v>35</v>
      </c>
      <c r="K8">
        <v>2</v>
      </c>
      <c r="L8">
        <v>4</v>
      </c>
      <c r="M8">
        <v>3</v>
      </c>
      <c r="N8">
        <v>4</v>
      </c>
      <c r="O8">
        <v>4</v>
      </c>
      <c r="P8">
        <v>3</v>
      </c>
      <c r="Q8">
        <v>3</v>
      </c>
      <c r="R8">
        <v>4</v>
      </c>
      <c r="S8">
        <v>3</v>
      </c>
      <c r="T8">
        <v>2</v>
      </c>
      <c r="U8">
        <v>2</v>
      </c>
      <c r="V8">
        <v>4</v>
      </c>
      <c r="W8">
        <v>4</v>
      </c>
      <c r="X8">
        <v>3</v>
      </c>
      <c r="Y8">
        <v>3</v>
      </c>
      <c r="AA8">
        <f t="shared" ref="AA8:AA14" si="0">6-$X8</f>
        <v>3</v>
      </c>
      <c r="AC8">
        <f t="shared" ref="AC8:AC14" si="1">K8+L8+M8+N8+O8+P8</f>
        <v>20</v>
      </c>
      <c r="AD8">
        <f t="shared" ref="AD8:AD14" si="2">Q8+R8+S8+T8+U8+V8+W8+AA8+Y8</f>
        <v>28</v>
      </c>
    </row>
    <row r="9" spans="1:30">
      <c r="A9" t="s">
        <v>48</v>
      </c>
      <c r="B9" t="s">
        <v>29</v>
      </c>
      <c r="C9" t="s">
        <v>30</v>
      </c>
      <c r="D9" t="s">
        <v>43</v>
      </c>
      <c r="E9" t="s">
        <v>32</v>
      </c>
      <c r="F9" t="s">
        <v>41</v>
      </c>
      <c r="G9" t="s">
        <v>49</v>
      </c>
      <c r="H9" t="s">
        <v>35</v>
      </c>
      <c r="I9" t="s">
        <v>35</v>
      </c>
      <c r="J9" t="s">
        <v>35</v>
      </c>
      <c r="K9">
        <v>3</v>
      </c>
      <c r="L9">
        <v>2</v>
      </c>
      <c r="M9">
        <v>1</v>
      </c>
      <c r="N9">
        <v>1</v>
      </c>
      <c r="O9">
        <v>1</v>
      </c>
      <c r="P9">
        <v>2</v>
      </c>
      <c r="Q9">
        <v>2</v>
      </c>
      <c r="R9">
        <v>1</v>
      </c>
      <c r="S9">
        <v>1</v>
      </c>
      <c r="T9">
        <v>1</v>
      </c>
      <c r="U9">
        <v>1</v>
      </c>
      <c r="V9">
        <v>2</v>
      </c>
      <c r="W9">
        <v>1</v>
      </c>
      <c r="X9">
        <v>2</v>
      </c>
      <c r="Y9">
        <v>1</v>
      </c>
      <c r="AA9">
        <f t="shared" si="0"/>
        <v>4</v>
      </c>
      <c r="AC9">
        <f t="shared" si="1"/>
        <v>10</v>
      </c>
      <c r="AD9">
        <f t="shared" si="2"/>
        <v>14</v>
      </c>
    </row>
    <row r="10" spans="1:30">
      <c r="A10" t="s">
        <v>50</v>
      </c>
      <c r="B10" t="s">
        <v>29</v>
      </c>
      <c r="C10" t="s">
        <v>30</v>
      </c>
      <c r="D10" t="s">
        <v>31</v>
      </c>
      <c r="E10" t="s">
        <v>38</v>
      </c>
      <c r="F10" t="s">
        <v>41</v>
      </c>
      <c r="G10" t="s">
        <v>44</v>
      </c>
      <c r="H10" t="s">
        <v>35</v>
      </c>
      <c r="I10" t="s">
        <v>35</v>
      </c>
      <c r="J10" t="s">
        <v>35</v>
      </c>
      <c r="K10">
        <v>3</v>
      </c>
      <c r="L10">
        <v>2</v>
      </c>
      <c r="M10">
        <v>3</v>
      </c>
      <c r="N10">
        <v>4</v>
      </c>
      <c r="O10">
        <v>4</v>
      </c>
      <c r="P10">
        <v>4</v>
      </c>
      <c r="Q10">
        <v>1</v>
      </c>
      <c r="R10">
        <v>2</v>
      </c>
      <c r="S10">
        <v>1</v>
      </c>
      <c r="T10">
        <v>1</v>
      </c>
      <c r="U10">
        <v>1</v>
      </c>
      <c r="V10">
        <v>3</v>
      </c>
      <c r="W10">
        <v>3</v>
      </c>
      <c r="X10">
        <v>2</v>
      </c>
      <c r="Y10">
        <v>1</v>
      </c>
      <c r="AA10">
        <f t="shared" si="0"/>
        <v>4</v>
      </c>
      <c r="AC10">
        <f t="shared" si="1"/>
        <v>20</v>
      </c>
      <c r="AD10">
        <f t="shared" si="2"/>
        <v>17</v>
      </c>
    </row>
    <row r="11" spans="1:30">
      <c r="A11" t="s">
        <v>51</v>
      </c>
      <c r="B11" t="s">
        <v>29</v>
      </c>
      <c r="C11" t="s">
        <v>30</v>
      </c>
      <c r="D11" t="s">
        <v>31</v>
      </c>
      <c r="E11" t="s">
        <v>38</v>
      </c>
      <c r="F11" t="s">
        <v>33</v>
      </c>
      <c r="G11" t="s">
        <v>34</v>
      </c>
      <c r="H11" t="s">
        <v>35</v>
      </c>
      <c r="I11" t="s">
        <v>35</v>
      </c>
      <c r="J11" t="s">
        <v>35</v>
      </c>
      <c r="K11">
        <v>3</v>
      </c>
      <c r="L11">
        <v>4</v>
      </c>
      <c r="M11">
        <v>2</v>
      </c>
      <c r="N11">
        <v>3</v>
      </c>
      <c r="O11">
        <v>3</v>
      </c>
      <c r="P11">
        <v>2</v>
      </c>
      <c r="Q11">
        <v>5</v>
      </c>
      <c r="R11">
        <v>3</v>
      </c>
      <c r="S11">
        <v>3</v>
      </c>
      <c r="T11">
        <v>2</v>
      </c>
      <c r="U11">
        <v>2</v>
      </c>
      <c r="V11">
        <v>4</v>
      </c>
      <c r="W11">
        <v>4</v>
      </c>
      <c r="X11">
        <v>4</v>
      </c>
      <c r="Y11">
        <v>3</v>
      </c>
      <c r="AA11">
        <f t="shared" si="0"/>
        <v>2</v>
      </c>
      <c r="AC11">
        <f t="shared" si="1"/>
        <v>17</v>
      </c>
      <c r="AD11">
        <f t="shared" si="2"/>
        <v>28</v>
      </c>
    </row>
    <row r="12" spans="1:30">
      <c r="A12" t="s">
        <v>52</v>
      </c>
      <c r="B12" t="s">
        <v>29</v>
      </c>
      <c r="C12" t="s">
        <v>30</v>
      </c>
      <c r="D12" t="s">
        <v>31</v>
      </c>
      <c r="E12" t="s">
        <v>32</v>
      </c>
      <c r="F12" t="s">
        <v>39</v>
      </c>
      <c r="G12" t="s">
        <v>34</v>
      </c>
      <c r="H12" t="s">
        <v>35</v>
      </c>
      <c r="I12" t="s">
        <v>35</v>
      </c>
      <c r="J12" t="s">
        <v>35</v>
      </c>
      <c r="K12">
        <v>4</v>
      </c>
      <c r="L12">
        <v>3</v>
      </c>
      <c r="M12">
        <v>4</v>
      </c>
      <c r="N12">
        <v>2</v>
      </c>
      <c r="O12">
        <v>4</v>
      </c>
      <c r="P12">
        <v>3</v>
      </c>
      <c r="Q12">
        <v>3</v>
      </c>
      <c r="R12">
        <v>3</v>
      </c>
      <c r="S12">
        <v>2</v>
      </c>
      <c r="T12">
        <v>3</v>
      </c>
      <c r="U12">
        <v>3</v>
      </c>
      <c r="V12">
        <v>3</v>
      </c>
      <c r="W12">
        <v>4</v>
      </c>
      <c r="X12">
        <v>3</v>
      </c>
      <c r="Y12">
        <v>3</v>
      </c>
      <c r="AA12">
        <f t="shared" si="0"/>
        <v>3</v>
      </c>
      <c r="AC12">
        <f t="shared" si="1"/>
        <v>20</v>
      </c>
      <c r="AD12">
        <f t="shared" si="2"/>
        <v>27</v>
      </c>
    </row>
    <row r="13" spans="1:30">
      <c r="A13" t="s">
        <v>53</v>
      </c>
      <c r="B13" t="s">
        <v>29</v>
      </c>
      <c r="C13" t="s">
        <v>30</v>
      </c>
      <c r="D13" t="s">
        <v>31</v>
      </c>
      <c r="E13" t="s">
        <v>38</v>
      </c>
      <c r="F13" t="s">
        <v>39</v>
      </c>
      <c r="G13" t="s">
        <v>44</v>
      </c>
      <c r="H13" t="s">
        <v>35</v>
      </c>
      <c r="I13" t="s">
        <v>35</v>
      </c>
      <c r="J13" t="s">
        <v>35</v>
      </c>
      <c r="K13">
        <v>1</v>
      </c>
      <c r="L13">
        <v>1</v>
      </c>
      <c r="M13">
        <v>1</v>
      </c>
      <c r="N13">
        <v>1</v>
      </c>
      <c r="O13">
        <v>3</v>
      </c>
      <c r="P13">
        <v>1</v>
      </c>
      <c r="Q13">
        <v>1</v>
      </c>
      <c r="R13">
        <v>3</v>
      </c>
      <c r="S13">
        <v>1</v>
      </c>
      <c r="T13">
        <v>1</v>
      </c>
      <c r="U13">
        <v>1</v>
      </c>
      <c r="V13">
        <v>1</v>
      </c>
      <c r="W13">
        <v>3</v>
      </c>
      <c r="X13">
        <v>5</v>
      </c>
      <c r="Y13">
        <v>1</v>
      </c>
      <c r="AA13">
        <f t="shared" si="0"/>
        <v>1</v>
      </c>
      <c r="AC13">
        <f t="shared" si="1"/>
        <v>8</v>
      </c>
      <c r="AD13">
        <f t="shared" si="2"/>
        <v>13</v>
      </c>
    </row>
    <row r="14" spans="1:30">
      <c r="A14" t="s">
        <v>54</v>
      </c>
      <c r="B14" t="s">
        <v>29</v>
      </c>
      <c r="C14" t="s">
        <v>30</v>
      </c>
      <c r="D14" t="s">
        <v>31</v>
      </c>
      <c r="E14" t="s">
        <v>32</v>
      </c>
      <c r="F14" t="s">
        <v>39</v>
      </c>
      <c r="G14" t="s">
        <v>44</v>
      </c>
      <c r="H14" t="s">
        <v>35</v>
      </c>
      <c r="I14" t="s">
        <v>35</v>
      </c>
      <c r="J14" t="s">
        <v>35</v>
      </c>
      <c r="K14">
        <v>5</v>
      </c>
      <c r="L14">
        <v>5</v>
      </c>
      <c r="M14">
        <v>3</v>
      </c>
      <c r="N14">
        <v>2</v>
      </c>
      <c r="O14">
        <v>2</v>
      </c>
      <c r="P14">
        <v>2</v>
      </c>
      <c r="Q14">
        <v>2</v>
      </c>
      <c r="R14">
        <v>3</v>
      </c>
      <c r="S14">
        <v>3</v>
      </c>
      <c r="T14">
        <v>4</v>
      </c>
      <c r="U14">
        <v>1</v>
      </c>
      <c r="V14">
        <v>3</v>
      </c>
      <c r="W14">
        <v>4</v>
      </c>
      <c r="X14">
        <v>4</v>
      </c>
      <c r="Y14">
        <v>2</v>
      </c>
      <c r="AA14">
        <f t="shared" si="0"/>
        <v>2</v>
      </c>
      <c r="AC14">
        <f t="shared" si="1"/>
        <v>19</v>
      </c>
      <c r="AD14">
        <f t="shared" si="2"/>
        <v>24</v>
      </c>
    </row>
    <row r="15" spans="1:30">
      <c r="A15" t="s">
        <v>56</v>
      </c>
      <c r="B15" t="s">
        <v>29</v>
      </c>
      <c r="C15" t="s">
        <v>30</v>
      </c>
      <c r="D15" t="s">
        <v>43</v>
      </c>
      <c r="E15" t="s">
        <v>32</v>
      </c>
      <c r="F15" t="s">
        <v>39</v>
      </c>
      <c r="G15" t="s">
        <v>44</v>
      </c>
      <c r="H15" t="s">
        <v>35</v>
      </c>
      <c r="I15" t="s">
        <v>35</v>
      </c>
      <c r="J15" t="s">
        <v>35</v>
      </c>
      <c r="K15">
        <v>1</v>
      </c>
      <c r="L15">
        <v>4</v>
      </c>
      <c r="M15">
        <v>4</v>
      </c>
      <c r="N15">
        <v>4</v>
      </c>
      <c r="O15">
        <v>1</v>
      </c>
      <c r="P15">
        <v>4</v>
      </c>
      <c r="Q15">
        <v>1</v>
      </c>
      <c r="R15">
        <v>1</v>
      </c>
      <c r="S15">
        <v>1</v>
      </c>
      <c r="T15">
        <v>1</v>
      </c>
      <c r="U15">
        <v>1</v>
      </c>
      <c r="V15">
        <v>5</v>
      </c>
      <c r="W15">
        <v>5</v>
      </c>
      <c r="X15">
        <v>5</v>
      </c>
      <c r="Y15">
        <v>1</v>
      </c>
      <c r="AA15">
        <f>6-$X15</f>
        <v>1</v>
      </c>
      <c r="AC15">
        <f>K15+L15+M15+N15+O15+P15</f>
        <v>18</v>
      </c>
      <c r="AD15">
        <f>Q15+R15+S15+T15+U15+V15+W15+AA15+Y15</f>
        <v>17</v>
      </c>
    </row>
    <row r="16" spans="1:30">
      <c r="A16" t="s">
        <v>57</v>
      </c>
      <c r="B16" t="s">
        <v>29</v>
      </c>
      <c r="C16" t="s">
        <v>30</v>
      </c>
      <c r="D16" t="s">
        <v>31</v>
      </c>
      <c r="E16" t="s">
        <v>32</v>
      </c>
      <c r="F16" t="s">
        <v>33</v>
      </c>
      <c r="G16" t="s">
        <v>34</v>
      </c>
      <c r="H16" t="s">
        <v>35</v>
      </c>
      <c r="I16" t="s">
        <v>35</v>
      </c>
      <c r="J16" t="s">
        <v>35</v>
      </c>
      <c r="K16">
        <v>3</v>
      </c>
      <c r="L16">
        <v>4</v>
      </c>
      <c r="M16">
        <v>3</v>
      </c>
      <c r="N16">
        <v>4</v>
      </c>
      <c r="O16">
        <v>4</v>
      </c>
      <c r="P16">
        <v>3</v>
      </c>
      <c r="Q16">
        <v>4</v>
      </c>
      <c r="R16">
        <v>4</v>
      </c>
      <c r="S16">
        <v>4</v>
      </c>
      <c r="T16">
        <v>4</v>
      </c>
      <c r="U16">
        <v>3</v>
      </c>
      <c r="V16">
        <v>4</v>
      </c>
      <c r="W16">
        <v>4</v>
      </c>
      <c r="X16">
        <v>2</v>
      </c>
      <c r="Y16">
        <v>3</v>
      </c>
      <c r="AA16">
        <f>6-$X16</f>
        <v>4</v>
      </c>
      <c r="AC16">
        <f>K16+L16+M16+N16+O16+P16</f>
        <v>21</v>
      </c>
      <c r="AD16">
        <f>Q16+R16+S16+T16+U16+V16+W16+AA16+Y16</f>
        <v>34</v>
      </c>
    </row>
    <row r="17" spans="1:30">
      <c r="A17" t="s">
        <v>58</v>
      </c>
      <c r="B17" t="s">
        <v>29</v>
      </c>
      <c r="C17" t="s">
        <v>55</v>
      </c>
      <c r="D17" t="s">
        <v>31</v>
      </c>
      <c r="E17" t="s">
        <v>59</v>
      </c>
      <c r="F17" t="s">
        <v>60</v>
      </c>
      <c r="G17" t="s">
        <v>44</v>
      </c>
      <c r="H17" t="s">
        <v>35</v>
      </c>
      <c r="I17" t="s">
        <v>35</v>
      </c>
      <c r="J17" t="s">
        <v>35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2</v>
      </c>
      <c r="W17">
        <v>2</v>
      </c>
      <c r="X17">
        <v>3</v>
      </c>
      <c r="Y17">
        <v>2</v>
      </c>
      <c r="AA17">
        <f>6-$X17</f>
        <v>3</v>
      </c>
      <c r="AC17">
        <f>K17+L17+M17+N17+O17+P17</f>
        <v>6</v>
      </c>
      <c r="AD17">
        <f>Q17+R17+S17+T17+U17+V17+W17+AA17+Y17</f>
        <v>14</v>
      </c>
    </row>
    <row r="18" spans="1:30">
      <c r="A18" t="s">
        <v>62</v>
      </c>
      <c r="B18" t="s">
        <v>29</v>
      </c>
      <c r="C18" t="s">
        <v>30</v>
      </c>
      <c r="D18" t="s">
        <v>31</v>
      </c>
      <c r="E18" t="s">
        <v>32</v>
      </c>
      <c r="F18" t="s">
        <v>39</v>
      </c>
      <c r="G18" t="s">
        <v>44</v>
      </c>
      <c r="H18" t="s">
        <v>35</v>
      </c>
      <c r="I18" t="s">
        <v>35</v>
      </c>
      <c r="J18" t="s">
        <v>35</v>
      </c>
      <c r="K18">
        <v>4</v>
      </c>
      <c r="L18">
        <v>4</v>
      </c>
      <c r="M18">
        <v>1</v>
      </c>
      <c r="N18">
        <v>3</v>
      </c>
      <c r="O18">
        <v>3</v>
      </c>
      <c r="P18">
        <v>2</v>
      </c>
      <c r="Q18">
        <v>1</v>
      </c>
      <c r="R18">
        <v>1</v>
      </c>
      <c r="S18">
        <v>1</v>
      </c>
      <c r="T18">
        <v>1</v>
      </c>
      <c r="U18">
        <v>1</v>
      </c>
      <c r="V18">
        <v>2</v>
      </c>
      <c r="W18">
        <v>3</v>
      </c>
      <c r="X18">
        <v>5</v>
      </c>
      <c r="Y18">
        <v>1</v>
      </c>
      <c r="AA18">
        <f t="shared" ref="AA18:AA30" si="3">6-$X18</f>
        <v>1</v>
      </c>
      <c r="AC18">
        <f t="shared" ref="AC18:AC30" si="4">K18+L18+M18+N18+O18+P18</f>
        <v>17</v>
      </c>
      <c r="AD18">
        <f t="shared" ref="AD18:AD30" si="5">Q18+R18+S18+T18+U18+V18+W18+AA18+Y18</f>
        <v>12</v>
      </c>
    </row>
    <row r="19" spans="1:30">
      <c r="A19" t="s">
        <v>63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 t="s">
        <v>34</v>
      </c>
      <c r="H19" t="s">
        <v>35</v>
      </c>
      <c r="I19" t="s">
        <v>35</v>
      </c>
      <c r="J19" t="s">
        <v>35</v>
      </c>
      <c r="K19">
        <v>4</v>
      </c>
      <c r="L19">
        <v>4</v>
      </c>
      <c r="M19">
        <v>2</v>
      </c>
      <c r="N19">
        <v>1</v>
      </c>
      <c r="O19">
        <v>1</v>
      </c>
      <c r="P19">
        <v>2</v>
      </c>
      <c r="Q19">
        <v>1</v>
      </c>
      <c r="R19">
        <v>2</v>
      </c>
      <c r="S19">
        <v>1</v>
      </c>
      <c r="T19">
        <v>1</v>
      </c>
      <c r="U19">
        <v>2</v>
      </c>
      <c r="V19">
        <v>2</v>
      </c>
      <c r="W19">
        <v>2</v>
      </c>
      <c r="X19">
        <v>5</v>
      </c>
      <c r="Y19">
        <v>2</v>
      </c>
      <c r="AA19">
        <f t="shared" si="3"/>
        <v>1</v>
      </c>
      <c r="AC19">
        <f t="shared" si="4"/>
        <v>14</v>
      </c>
      <c r="AD19">
        <f t="shared" si="5"/>
        <v>14</v>
      </c>
    </row>
    <row r="20" spans="1:30">
      <c r="A20" t="s">
        <v>64</v>
      </c>
      <c r="B20" t="s">
        <v>29</v>
      </c>
      <c r="C20" t="s">
        <v>55</v>
      </c>
      <c r="D20" t="s">
        <v>31</v>
      </c>
      <c r="E20" t="s">
        <v>32</v>
      </c>
      <c r="F20" t="s">
        <v>39</v>
      </c>
      <c r="G20" t="s">
        <v>61</v>
      </c>
      <c r="H20" t="s">
        <v>35</v>
      </c>
      <c r="I20" t="s">
        <v>35</v>
      </c>
      <c r="J20" t="s">
        <v>35</v>
      </c>
      <c r="K20">
        <v>4</v>
      </c>
      <c r="L20">
        <v>3</v>
      </c>
      <c r="M20">
        <v>4</v>
      </c>
      <c r="N20">
        <v>4</v>
      </c>
      <c r="O20">
        <v>4</v>
      </c>
      <c r="P20">
        <v>1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AA20">
        <f t="shared" si="3"/>
        <v>2</v>
      </c>
      <c r="AC20">
        <f t="shared" si="4"/>
        <v>20</v>
      </c>
      <c r="AD20">
        <f t="shared" si="5"/>
        <v>34</v>
      </c>
    </row>
    <row r="21" spans="1:30">
      <c r="A21" t="s">
        <v>65</v>
      </c>
      <c r="B21" t="s">
        <v>29</v>
      </c>
      <c r="C21" t="s">
        <v>30</v>
      </c>
      <c r="D21" t="s">
        <v>31</v>
      </c>
      <c r="E21" t="s">
        <v>32</v>
      </c>
      <c r="F21" t="s">
        <v>41</v>
      </c>
      <c r="G21" t="s">
        <v>49</v>
      </c>
      <c r="H21" t="s">
        <v>35</v>
      </c>
      <c r="I21" t="s">
        <v>35</v>
      </c>
      <c r="J21" t="s">
        <v>35</v>
      </c>
      <c r="K21">
        <v>1</v>
      </c>
      <c r="L21">
        <v>1</v>
      </c>
      <c r="M21">
        <v>3</v>
      </c>
      <c r="N21">
        <v>2</v>
      </c>
      <c r="O21">
        <v>3</v>
      </c>
      <c r="P21">
        <v>1</v>
      </c>
      <c r="Q21">
        <v>1</v>
      </c>
      <c r="R21">
        <v>1</v>
      </c>
      <c r="S21">
        <v>1</v>
      </c>
      <c r="T21">
        <v>2</v>
      </c>
      <c r="U21">
        <v>1</v>
      </c>
      <c r="V21">
        <v>2</v>
      </c>
      <c r="W21">
        <v>2</v>
      </c>
      <c r="X21">
        <v>4</v>
      </c>
      <c r="Y21">
        <v>2</v>
      </c>
      <c r="AA21">
        <f t="shared" si="3"/>
        <v>2</v>
      </c>
      <c r="AC21">
        <f t="shared" si="4"/>
        <v>11</v>
      </c>
      <c r="AD21">
        <f t="shared" si="5"/>
        <v>14</v>
      </c>
    </row>
    <row r="22" spans="1:30">
      <c r="A22" t="s">
        <v>66</v>
      </c>
      <c r="B22" t="s">
        <v>29</v>
      </c>
      <c r="C22" t="s">
        <v>55</v>
      </c>
      <c r="D22" t="s">
        <v>43</v>
      </c>
      <c r="E22" t="s">
        <v>32</v>
      </c>
      <c r="F22" t="s">
        <v>33</v>
      </c>
      <c r="G22" t="s">
        <v>34</v>
      </c>
      <c r="H22" t="s">
        <v>35</v>
      </c>
      <c r="I22" t="s">
        <v>35</v>
      </c>
      <c r="J22" t="s">
        <v>35</v>
      </c>
      <c r="K22">
        <v>1</v>
      </c>
      <c r="L22">
        <v>3</v>
      </c>
      <c r="M22">
        <v>3</v>
      </c>
      <c r="N22">
        <v>4</v>
      </c>
      <c r="O22">
        <v>5</v>
      </c>
      <c r="P22">
        <v>2</v>
      </c>
      <c r="Q22">
        <v>5</v>
      </c>
      <c r="R22">
        <v>5</v>
      </c>
      <c r="S22">
        <v>3</v>
      </c>
      <c r="T22">
        <v>3</v>
      </c>
      <c r="U22">
        <v>2</v>
      </c>
      <c r="V22">
        <v>5</v>
      </c>
      <c r="W22">
        <v>5</v>
      </c>
      <c r="X22">
        <v>4</v>
      </c>
      <c r="Y22">
        <v>5</v>
      </c>
      <c r="AA22">
        <f t="shared" si="3"/>
        <v>2</v>
      </c>
      <c r="AC22">
        <f t="shared" si="4"/>
        <v>18</v>
      </c>
      <c r="AD22">
        <f t="shared" si="5"/>
        <v>35</v>
      </c>
    </row>
    <row r="23" spans="1:30">
      <c r="A23" t="s">
        <v>67</v>
      </c>
      <c r="B23" t="s">
        <v>29</v>
      </c>
      <c r="C23" t="s">
        <v>30</v>
      </c>
      <c r="D23" t="s">
        <v>43</v>
      </c>
      <c r="E23" t="s">
        <v>38</v>
      </c>
      <c r="F23" t="s">
        <v>41</v>
      </c>
      <c r="G23" t="s">
        <v>44</v>
      </c>
      <c r="H23" t="s">
        <v>35</v>
      </c>
      <c r="I23" t="s">
        <v>35</v>
      </c>
      <c r="J23" t="s">
        <v>35</v>
      </c>
      <c r="K23">
        <v>2</v>
      </c>
      <c r="L23">
        <v>2</v>
      </c>
      <c r="M23">
        <v>1</v>
      </c>
      <c r="N23">
        <v>3</v>
      </c>
      <c r="O23">
        <v>2</v>
      </c>
      <c r="P23">
        <v>2</v>
      </c>
      <c r="Q23">
        <v>1</v>
      </c>
      <c r="R23">
        <v>3</v>
      </c>
      <c r="S23">
        <v>4</v>
      </c>
      <c r="T23">
        <v>3</v>
      </c>
      <c r="U23">
        <v>4</v>
      </c>
      <c r="V23">
        <v>1</v>
      </c>
      <c r="W23">
        <v>4</v>
      </c>
      <c r="X23">
        <v>4</v>
      </c>
      <c r="Y23">
        <v>1</v>
      </c>
      <c r="AA23">
        <f t="shared" si="3"/>
        <v>2</v>
      </c>
      <c r="AC23">
        <f t="shared" si="4"/>
        <v>12</v>
      </c>
      <c r="AD23">
        <f t="shared" si="5"/>
        <v>23</v>
      </c>
    </row>
    <row r="24" spans="1:30">
      <c r="A24" t="s">
        <v>68</v>
      </c>
      <c r="B24" t="s">
        <v>29</v>
      </c>
      <c r="C24" t="s">
        <v>30</v>
      </c>
      <c r="D24" t="s">
        <v>31</v>
      </c>
      <c r="E24" t="s">
        <v>38</v>
      </c>
      <c r="F24" t="s">
        <v>41</v>
      </c>
      <c r="G24" t="s">
        <v>49</v>
      </c>
      <c r="H24" t="s">
        <v>35</v>
      </c>
      <c r="I24" t="s">
        <v>35</v>
      </c>
      <c r="J24" t="s">
        <v>35</v>
      </c>
      <c r="K24">
        <v>2</v>
      </c>
      <c r="L24">
        <v>2</v>
      </c>
      <c r="M24">
        <v>5</v>
      </c>
      <c r="N24">
        <v>4</v>
      </c>
      <c r="O24">
        <v>4</v>
      </c>
      <c r="P24">
        <v>3</v>
      </c>
      <c r="Q24">
        <v>2</v>
      </c>
      <c r="R24">
        <v>1</v>
      </c>
      <c r="S24">
        <v>2</v>
      </c>
      <c r="T24">
        <v>1</v>
      </c>
      <c r="U24">
        <v>4</v>
      </c>
      <c r="V24">
        <v>4</v>
      </c>
      <c r="W24">
        <v>3</v>
      </c>
      <c r="X24">
        <v>4</v>
      </c>
      <c r="Y24">
        <v>4</v>
      </c>
      <c r="AA24">
        <f t="shared" si="3"/>
        <v>2</v>
      </c>
      <c r="AC24">
        <f t="shared" si="4"/>
        <v>20</v>
      </c>
      <c r="AD24">
        <f t="shared" si="5"/>
        <v>23</v>
      </c>
    </row>
    <row r="25" spans="1:30">
      <c r="A25" t="s">
        <v>69</v>
      </c>
      <c r="B25" t="s">
        <v>29</v>
      </c>
      <c r="C25" t="s">
        <v>30</v>
      </c>
      <c r="D25" t="s">
        <v>31</v>
      </c>
      <c r="E25" t="s">
        <v>32</v>
      </c>
      <c r="F25" t="s">
        <v>39</v>
      </c>
      <c r="G25" t="s">
        <v>44</v>
      </c>
      <c r="H25" t="s">
        <v>35</v>
      </c>
      <c r="I25" t="s">
        <v>35</v>
      </c>
      <c r="J25" t="s">
        <v>35</v>
      </c>
      <c r="K25">
        <v>2</v>
      </c>
      <c r="L25">
        <v>3</v>
      </c>
      <c r="M25">
        <v>3</v>
      </c>
      <c r="N25">
        <v>4</v>
      </c>
      <c r="O25">
        <v>4</v>
      </c>
      <c r="P25">
        <v>3</v>
      </c>
      <c r="Q25">
        <v>3</v>
      </c>
      <c r="R25">
        <v>4</v>
      </c>
      <c r="S25">
        <v>2</v>
      </c>
      <c r="T25">
        <v>2</v>
      </c>
      <c r="U25">
        <v>2</v>
      </c>
      <c r="V25">
        <v>4</v>
      </c>
      <c r="W25">
        <v>4</v>
      </c>
      <c r="X25">
        <v>3</v>
      </c>
      <c r="Y25">
        <v>4</v>
      </c>
      <c r="AA25">
        <f t="shared" si="3"/>
        <v>3</v>
      </c>
      <c r="AC25">
        <f t="shared" si="4"/>
        <v>19</v>
      </c>
      <c r="AD25">
        <f t="shared" si="5"/>
        <v>28</v>
      </c>
    </row>
    <row r="26" spans="1:30">
      <c r="A26" t="s">
        <v>70</v>
      </c>
      <c r="B26" t="s">
        <v>29</v>
      </c>
      <c r="C26" t="s">
        <v>30</v>
      </c>
      <c r="D26" t="s">
        <v>31</v>
      </c>
      <c r="E26" t="s">
        <v>32</v>
      </c>
      <c r="F26" t="s">
        <v>39</v>
      </c>
      <c r="G26" t="s">
        <v>34</v>
      </c>
      <c r="H26" t="s">
        <v>35</v>
      </c>
      <c r="I26" t="s">
        <v>35</v>
      </c>
      <c r="J26" t="s">
        <v>35</v>
      </c>
      <c r="K26">
        <v>1</v>
      </c>
      <c r="L26">
        <v>2</v>
      </c>
      <c r="M26">
        <v>1</v>
      </c>
      <c r="N26">
        <v>1</v>
      </c>
      <c r="O26">
        <v>3</v>
      </c>
      <c r="P26">
        <v>1</v>
      </c>
      <c r="Q26">
        <v>2</v>
      </c>
      <c r="R26">
        <v>2</v>
      </c>
      <c r="S26">
        <v>2</v>
      </c>
      <c r="T26">
        <v>2</v>
      </c>
      <c r="U26">
        <v>2</v>
      </c>
      <c r="V26">
        <v>3</v>
      </c>
      <c r="W26">
        <v>3</v>
      </c>
      <c r="X26">
        <v>2</v>
      </c>
      <c r="Y26">
        <v>1</v>
      </c>
      <c r="AA26">
        <f t="shared" si="3"/>
        <v>4</v>
      </c>
      <c r="AC26">
        <f t="shared" si="4"/>
        <v>9</v>
      </c>
      <c r="AD26">
        <f t="shared" si="5"/>
        <v>21</v>
      </c>
    </row>
    <row r="27" spans="1:30">
      <c r="A27" t="s">
        <v>71</v>
      </c>
      <c r="B27" t="s">
        <v>29</v>
      </c>
      <c r="C27" t="s">
        <v>30</v>
      </c>
      <c r="D27" t="s">
        <v>31</v>
      </c>
      <c r="E27" t="s">
        <v>38</v>
      </c>
      <c r="F27" t="s">
        <v>41</v>
      </c>
      <c r="G27" t="s">
        <v>44</v>
      </c>
      <c r="H27" t="s">
        <v>35</v>
      </c>
      <c r="I27" t="s">
        <v>35</v>
      </c>
      <c r="J27" t="s">
        <v>35</v>
      </c>
      <c r="K27">
        <v>2</v>
      </c>
      <c r="L27">
        <v>4</v>
      </c>
      <c r="M27">
        <v>4</v>
      </c>
      <c r="N27">
        <v>5</v>
      </c>
      <c r="O27">
        <v>4</v>
      </c>
      <c r="P27">
        <v>5</v>
      </c>
      <c r="Q27">
        <v>3</v>
      </c>
      <c r="R27">
        <v>3</v>
      </c>
      <c r="S27">
        <v>2</v>
      </c>
      <c r="T27">
        <v>2</v>
      </c>
      <c r="U27">
        <v>2</v>
      </c>
      <c r="V27">
        <v>3</v>
      </c>
      <c r="W27">
        <v>2</v>
      </c>
      <c r="X27">
        <v>3</v>
      </c>
      <c r="Y27">
        <v>3</v>
      </c>
      <c r="AA27">
        <f t="shared" si="3"/>
        <v>3</v>
      </c>
      <c r="AC27">
        <f t="shared" si="4"/>
        <v>24</v>
      </c>
      <c r="AD27">
        <f t="shared" si="5"/>
        <v>23</v>
      </c>
    </row>
    <row r="28" spans="1:30">
      <c r="A28" t="s">
        <v>72</v>
      </c>
      <c r="B28" t="s">
        <v>29</v>
      </c>
      <c r="C28" t="s">
        <v>30</v>
      </c>
      <c r="D28" t="s">
        <v>31</v>
      </c>
      <c r="E28" t="s">
        <v>32</v>
      </c>
      <c r="F28" t="s">
        <v>39</v>
      </c>
      <c r="G28" t="s">
        <v>44</v>
      </c>
      <c r="H28" t="s">
        <v>35</v>
      </c>
      <c r="I28" t="s">
        <v>35</v>
      </c>
      <c r="J28" t="s">
        <v>35</v>
      </c>
      <c r="K28">
        <v>1</v>
      </c>
      <c r="L28">
        <v>1</v>
      </c>
      <c r="M28">
        <v>3</v>
      </c>
      <c r="N28">
        <v>4</v>
      </c>
      <c r="O28">
        <v>3</v>
      </c>
      <c r="P28">
        <v>3</v>
      </c>
      <c r="Q28">
        <v>1</v>
      </c>
      <c r="R28">
        <v>3</v>
      </c>
      <c r="S28">
        <v>3</v>
      </c>
      <c r="T28">
        <v>1</v>
      </c>
      <c r="U28">
        <v>1</v>
      </c>
      <c r="V28">
        <v>3</v>
      </c>
      <c r="W28">
        <v>1</v>
      </c>
      <c r="X28">
        <v>1</v>
      </c>
      <c r="Y28">
        <v>2</v>
      </c>
      <c r="AA28">
        <f t="shared" si="3"/>
        <v>5</v>
      </c>
      <c r="AC28">
        <f t="shared" si="4"/>
        <v>15</v>
      </c>
      <c r="AD28">
        <f t="shared" si="5"/>
        <v>20</v>
      </c>
    </row>
    <row r="29" spans="1:30">
      <c r="A29" t="s">
        <v>73</v>
      </c>
      <c r="B29" t="s">
        <v>29</v>
      </c>
      <c r="C29" t="s">
        <v>55</v>
      </c>
      <c r="D29" t="s">
        <v>31</v>
      </c>
      <c r="E29" t="s">
        <v>32</v>
      </c>
      <c r="F29" t="s">
        <v>39</v>
      </c>
      <c r="G29" t="s">
        <v>44</v>
      </c>
      <c r="H29" t="s">
        <v>35</v>
      </c>
      <c r="I29" t="s">
        <v>35</v>
      </c>
      <c r="J29" t="s">
        <v>35</v>
      </c>
      <c r="K29">
        <v>2</v>
      </c>
      <c r="L29">
        <v>4</v>
      </c>
      <c r="M29">
        <v>3</v>
      </c>
      <c r="N29">
        <v>2</v>
      </c>
      <c r="O29">
        <v>5</v>
      </c>
      <c r="P29">
        <v>3</v>
      </c>
      <c r="Q29">
        <v>5</v>
      </c>
      <c r="R29">
        <v>3</v>
      </c>
      <c r="S29">
        <v>3</v>
      </c>
      <c r="T29">
        <v>3</v>
      </c>
      <c r="U29">
        <v>4</v>
      </c>
      <c r="V29">
        <v>4</v>
      </c>
      <c r="W29">
        <v>4</v>
      </c>
      <c r="X29">
        <v>2</v>
      </c>
      <c r="Y29">
        <v>5</v>
      </c>
      <c r="AA29">
        <f t="shared" si="3"/>
        <v>4</v>
      </c>
      <c r="AC29">
        <f t="shared" si="4"/>
        <v>19</v>
      </c>
      <c r="AD29">
        <f t="shared" si="5"/>
        <v>35</v>
      </c>
    </row>
    <row r="30" spans="1:30">
      <c r="A30" t="s">
        <v>74</v>
      </c>
      <c r="B30" t="s">
        <v>29</v>
      </c>
      <c r="C30" t="s">
        <v>30</v>
      </c>
      <c r="D30" t="s">
        <v>31</v>
      </c>
      <c r="E30" t="s">
        <v>32</v>
      </c>
      <c r="F30" t="s">
        <v>39</v>
      </c>
      <c r="G30" t="s">
        <v>61</v>
      </c>
      <c r="H30" t="s">
        <v>35</v>
      </c>
      <c r="I30" t="s">
        <v>35</v>
      </c>
      <c r="J30" t="s">
        <v>35</v>
      </c>
      <c r="K30">
        <v>1</v>
      </c>
      <c r="L30">
        <v>3</v>
      </c>
      <c r="M30">
        <v>3</v>
      </c>
      <c r="N30">
        <v>2</v>
      </c>
      <c r="O30">
        <v>4</v>
      </c>
      <c r="P30">
        <v>3</v>
      </c>
      <c r="Q30">
        <v>3</v>
      </c>
      <c r="R30">
        <v>2</v>
      </c>
      <c r="S30">
        <v>1</v>
      </c>
      <c r="T30">
        <v>1</v>
      </c>
      <c r="U30">
        <v>1</v>
      </c>
      <c r="V30">
        <v>2</v>
      </c>
      <c r="W30">
        <v>3</v>
      </c>
      <c r="X30">
        <v>3</v>
      </c>
      <c r="Y30">
        <v>2</v>
      </c>
      <c r="AA30">
        <f t="shared" si="3"/>
        <v>3</v>
      </c>
      <c r="AC30">
        <f t="shared" si="4"/>
        <v>16</v>
      </c>
      <c r="AD30">
        <f t="shared" si="5"/>
        <v>18</v>
      </c>
    </row>
    <row r="31" spans="1:30">
      <c r="A31" t="s">
        <v>75</v>
      </c>
      <c r="B31" t="s">
        <v>29</v>
      </c>
      <c r="C31" t="s">
        <v>30</v>
      </c>
      <c r="D31" t="s">
        <v>31</v>
      </c>
      <c r="E31" t="s">
        <v>32</v>
      </c>
      <c r="F31" t="s">
        <v>33</v>
      </c>
      <c r="G31" t="s">
        <v>34</v>
      </c>
      <c r="H31" t="s">
        <v>35</v>
      </c>
      <c r="I31" t="s">
        <v>35</v>
      </c>
      <c r="J31" t="s">
        <v>35</v>
      </c>
      <c r="K31">
        <v>3</v>
      </c>
      <c r="L31">
        <v>5</v>
      </c>
      <c r="M31">
        <v>3</v>
      </c>
      <c r="N31">
        <v>5</v>
      </c>
      <c r="O31">
        <v>4</v>
      </c>
      <c r="P31">
        <v>3</v>
      </c>
      <c r="Q31">
        <v>4</v>
      </c>
      <c r="R31">
        <v>2</v>
      </c>
      <c r="S31">
        <v>2</v>
      </c>
      <c r="T31">
        <v>2</v>
      </c>
      <c r="U31">
        <v>3</v>
      </c>
      <c r="V31">
        <v>4</v>
      </c>
      <c r="W31">
        <v>3</v>
      </c>
      <c r="X31">
        <v>3</v>
      </c>
      <c r="Y31">
        <v>4</v>
      </c>
      <c r="AA31">
        <f>6-$X31</f>
        <v>3</v>
      </c>
      <c r="AC31">
        <f>K31+L31+M31+N31+O31+P31</f>
        <v>23</v>
      </c>
      <c r="AD31">
        <f>Q31+R31+S31+T31+U31+V31+W31+AA31+Y31</f>
        <v>27</v>
      </c>
    </row>
    <row r="32" spans="1:30">
      <c r="A32" t="s">
        <v>76</v>
      </c>
      <c r="B32" t="s">
        <v>29</v>
      </c>
      <c r="C32" t="s">
        <v>30</v>
      </c>
      <c r="D32" t="s">
        <v>31</v>
      </c>
      <c r="E32" t="s">
        <v>32</v>
      </c>
      <c r="F32" t="s">
        <v>41</v>
      </c>
      <c r="G32" t="s">
        <v>34</v>
      </c>
      <c r="H32" t="s">
        <v>35</v>
      </c>
      <c r="I32" t="s">
        <v>35</v>
      </c>
      <c r="J32" t="s">
        <v>35</v>
      </c>
      <c r="K32">
        <v>2</v>
      </c>
      <c r="L32">
        <v>3</v>
      </c>
      <c r="M32">
        <v>3</v>
      </c>
      <c r="N32">
        <v>2</v>
      </c>
      <c r="O32">
        <v>2</v>
      </c>
      <c r="P32">
        <v>3</v>
      </c>
      <c r="Q32">
        <v>2</v>
      </c>
      <c r="R32">
        <v>2</v>
      </c>
      <c r="S32">
        <v>1</v>
      </c>
      <c r="T32">
        <v>1</v>
      </c>
      <c r="U32">
        <v>1</v>
      </c>
      <c r="V32">
        <v>3</v>
      </c>
      <c r="W32">
        <v>3</v>
      </c>
      <c r="X32">
        <v>4</v>
      </c>
      <c r="Y32">
        <v>2</v>
      </c>
      <c r="AA32">
        <f>6-$X32</f>
        <v>2</v>
      </c>
      <c r="AC32">
        <f>K32+L32+M32+N32+O32+P32</f>
        <v>15</v>
      </c>
      <c r="AD32">
        <f>Q32+R32+S32+T32+U32+V32+W32+AA32+Y32</f>
        <v>17</v>
      </c>
    </row>
    <row r="33" spans="1:30">
      <c r="A33" t="s">
        <v>77</v>
      </c>
      <c r="B33" t="s">
        <v>29</v>
      </c>
      <c r="C33" t="s">
        <v>55</v>
      </c>
      <c r="D33" t="s">
        <v>45</v>
      </c>
      <c r="E33" t="s">
        <v>45</v>
      </c>
      <c r="F33" t="s">
        <v>41</v>
      </c>
      <c r="G33" t="s">
        <v>34</v>
      </c>
      <c r="H33" t="s">
        <v>35</v>
      </c>
      <c r="I33" t="s">
        <v>35</v>
      </c>
      <c r="J33" t="s">
        <v>35</v>
      </c>
      <c r="K33">
        <v>2</v>
      </c>
      <c r="L33">
        <v>4</v>
      </c>
      <c r="M33">
        <v>4</v>
      </c>
      <c r="N33">
        <v>5</v>
      </c>
      <c r="O33">
        <v>4</v>
      </c>
      <c r="P33">
        <v>3</v>
      </c>
      <c r="Q33">
        <v>4</v>
      </c>
      <c r="R33">
        <v>5</v>
      </c>
      <c r="S33">
        <v>4</v>
      </c>
      <c r="T33">
        <v>3</v>
      </c>
      <c r="U33">
        <v>4</v>
      </c>
      <c r="V33">
        <v>5</v>
      </c>
      <c r="W33">
        <v>3</v>
      </c>
      <c r="X33">
        <v>2</v>
      </c>
      <c r="Y33">
        <v>4</v>
      </c>
      <c r="AA33">
        <f>6-$X33</f>
        <v>4</v>
      </c>
      <c r="AC33">
        <f>K33+L33+M33+N33+O33+P33</f>
        <v>22</v>
      </c>
      <c r="AD33">
        <f>Q33+R33+S33+T33+U33+V33+W33+AA33+Y33</f>
        <v>36</v>
      </c>
    </row>
    <row r="34" spans="1:30">
      <c r="A34" t="s">
        <v>78</v>
      </c>
      <c r="B34" t="s">
        <v>29</v>
      </c>
      <c r="C34" t="s">
        <v>30</v>
      </c>
      <c r="D34" t="s">
        <v>31</v>
      </c>
      <c r="E34" t="s">
        <v>38</v>
      </c>
      <c r="F34" t="s">
        <v>39</v>
      </c>
      <c r="G34" t="s">
        <v>34</v>
      </c>
      <c r="H34" t="s">
        <v>35</v>
      </c>
      <c r="I34" t="s">
        <v>35</v>
      </c>
      <c r="J34" t="s">
        <v>35</v>
      </c>
      <c r="K34">
        <v>2</v>
      </c>
      <c r="L34">
        <v>3</v>
      </c>
      <c r="M34">
        <v>2</v>
      </c>
      <c r="N34">
        <v>2</v>
      </c>
      <c r="O34">
        <v>4</v>
      </c>
      <c r="P34">
        <v>2</v>
      </c>
      <c r="Q34">
        <v>2</v>
      </c>
      <c r="R34">
        <v>3</v>
      </c>
      <c r="S34">
        <v>2</v>
      </c>
      <c r="T34">
        <v>2</v>
      </c>
      <c r="U34">
        <v>2</v>
      </c>
      <c r="V34">
        <v>3</v>
      </c>
      <c r="W34">
        <v>3</v>
      </c>
      <c r="X34">
        <v>3</v>
      </c>
      <c r="Y34">
        <v>3</v>
      </c>
      <c r="AA34">
        <f>6-$X34</f>
        <v>3</v>
      </c>
      <c r="AC34">
        <f>K34+L34+M34+N34+O34+P34</f>
        <v>15</v>
      </c>
      <c r="AD34">
        <f>Q34+R34+S34+T34+U34+V34+W34+AA34+Y34</f>
        <v>23</v>
      </c>
    </row>
    <row r="35" spans="1:30">
      <c r="A35" t="s">
        <v>79</v>
      </c>
      <c r="B35" t="s">
        <v>29</v>
      </c>
      <c r="C35" t="s">
        <v>30</v>
      </c>
      <c r="D35" t="s">
        <v>31</v>
      </c>
      <c r="E35" t="s">
        <v>32</v>
      </c>
      <c r="F35" t="s">
        <v>39</v>
      </c>
      <c r="G35" t="s">
        <v>44</v>
      </c>
      <c r="H35" t="s">
        <v>35</v>
      </c>
      <c r="I35" t="s">
        <v>35</v>
      </c>
      <c r="J35" t="s">
        <v>35</v>
      </c>
      <c r="K35">
        <v>4</v>
      </c>
      <c r="L35">
        <v>1</v>
      </c>
      <c r="M35">
        <v>1</v>
      </c>
      <c r="N35">
        <v>1</v>
      </c>
      <c r="O35">
        <v>3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2</v>
      </c>
      <c r="W35">
        <v>1</v>
      </c>
      <c r="X35">
        <v>3</v>
      </c>
      <c r="Y35">
        <v>1</v>
      </c>
      <c r="AA35">
        <f>6-$X35</f>
        <v>3</v>
      </c>
      <c r="AC35">
        <f>K35+L35+M35+N35+O35+P35</f>
        <v>11</v>
      </c>
      <c r="AD35">
        <f>Q35+R35+S35+T35+U35+V35+W35+AA35+Y35</f>
        <v>12</v>
      </c>
    </row>
  </sheetData>
  <autoFilter ref="A1:Y35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 Survey on Problematic Social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Qiran Lang</cp:lastModifiedBy>
  <dcterms:created xsi:type="dcterms:W3CDTF">2026-04-28T17:48:42Z</dcterms:created>
  <dcterms:modified xsi:type="dcterms:W3CDTF">2026-04-28T16:58:40Z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EBFA15F8A73BC89179E6F0699A8BCC8D_43</vt:lpwstr>
  </property>
</Properties>
</file>